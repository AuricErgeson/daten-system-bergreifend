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ku-fi24\LF8\LS6_Projekt\"/>
    </mc:Choice>
  </mc:AlternateContent>
  <bookViews>
    <workbookView xWindow="0" yWindow="0" windowWidth="19200" windowHeight="6450"/>
  </bookViews>
  <sheets>
    <sheet name="Präsenta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2" l="1"/>
  <c r="H29" i="2"/>
  <c r="G29" i="2"/>
  <c r="F29" i="2"/>
  <c r="E29" i="2"/>
  <c r="D29" i="2"/>
  <c r="C29" i="2"/>
  <c r="J28" i="2"/>
  <c r="J27" i="2" s="1"/>
  <c r="J26" i="2"/>
  <c r="J25" i="2"/>
  <c r="J24" i="2"/>
  <c r="J23" i="2"/>
  <c r="J22" i="2"/>
  <c r="J21" i="2"/>
  <c r="J20" i="2"/>
  <c r="J19" i="2"/>
  <c r="J17" i="2"/>
  <c r="J15" i="2"/>
  <c r="J13" i="2"/>
  <c r="J12" i="2"/>
  <c r="J11" i="2"/>
  <c r="J9" i="2"/>
  <c r="J8" i="2"/>
  <c r="J7" i="2"/>
  <c r="J6" i="2"/>
  <c r="J5" i="2"/>
  <c r="A3" i="2"/>
  <c r="J18" i="2" l="1"/>
  <c r="J4" i="2" s="1"/>
  <c r="J29" i="2"/>
</calcChain>
</file>

<file path=xl/sharedStrings.xml><?xml version="1.0" encoding="utf-8"?>
<sst xmlns="http://schemas.openxmlformats.org/spreadsheetml/2006/main" count="56" uniqueCount="56">
  <si>
    <t>Prüfer/in</t>
  </si>
  <si>
    <t>Name_1</t>
  </si>
  <si>
    <t>Name_2</t>
  </si>
  <si>
    <t>Name_3</t>
  </si>
  <si>
    <t>Name_4</t>
  </si>
  <si>
    <t>Name_5</t>
  </si>
  <si>
    <t>Name_6</t>
  </si>
  <si>
    <t>Name_7</t>
  </si>
  <si>
    <t>Erfüllung der Kriterien</t>
  </si>
  <si>
    <t>Max</t>
  </si>
  <si>
    <t>Summe</t>
  </si>
  <si>
    <t>1</t>
  </si>
  <si>
    <t>Präsentationsinhalt</t>
  </si>
  <si>
    <t>1.1</t>
  </si>
  <si>
    <t>Gliederung der Präsentation</t>
  </si>
  <si>
    <t>1.2</t>
  </si>
  <si>
    <t>Beschreibung des Umfelds und der Aufgabenstellung / Zielsetzung</t>
  </si>
  <si>
    <t>1.3</t>
  </si>
  <si>
    <t>Darstellung der Prozessschritte</t>
  </si>
  <si>
    <t>1.4</t>
  </si>
  <si>
    <t>Darstellung der fachbezogenen Probleme,
Lösungskonzepte und Entscheidungen</t>
  </si>
  <si>
    <t>1.5</t>
  </si>
  <si>
    <t>Darstellung des für die Projektarbeit relevanten Inhalts</t>
  </si>
  <si>
    <t>1.6</t>
  </si>
  <si>
    <t>Begründung der Vorgehensweise im Projekt</t>
  </si>
  <si>
    <t>1.7</t>
  </si>
  <si>
    <t>Darstellung und Nachvollziehbarkeit von Entscheidungen</t>
  </si>
  <si>
    <t>1.9</t>
  </si>
  <si>
    <t>Einhaltung eines angemessenen Verhältnisses
zwischen Verlaufs- und Ergebnisbeschreibung</t>
  </si>
  <si>
    <t>1.10</t>
  </si>
  <si>
    <t>Angemessene Beschreibung des berufs-
spezifischen Projektgegenstandes (max. 25%)</t>
  </si>
  <si>
    <t>1.11</t>
  </si>
  <si>
    <t>Fazit, Reflexion</t>
  </si>
  <si>
    <t>2</t>
  </si>
  <si>
    <t>Präsentationstechnik und -methodik</t>
  </si>
  <si>
    <t>2.1</t>
  </si>
  <si>
    <t>Wie verständlich wurden die Inhalte dem Prüfungsausschuss vermittelt?</t>
  </si>
  <si>
    <t>2.2</t>
  </si>
  <si>
    <t>Wie genau wurde formuliert und wurden Fachbegriffe richtig verwendet?</t>
  </si>
  <si>
    <t>2.3</t>
  </si>
  <si>
    <t>Wie deutlich wurde gesprochen?
Wie gezielt wurden Blickkontakt und Körpersprache eingesetzt?
Wurden besondere Aspekte durch Lautstärke,
Betonung und Gestik herausgestellt?</t>
  </si>
  <si>
    <t>2.4</t>
  </si>
  <si>
    <t>Wie angemessen war das Tempo des Vortrages?</t>
  </si>
  <si>
    <t>2.5</t>
  </si>
  <si>
    <t>Wie frei wurde vorgetragen (Rhetorik)?</t>
  </si>
  <si>
    <t>2.6</t>
  </si>
  <si>
    <t>Wie synchron waren Medieneinsatz und Vortrag?</t>
  </si>
  <si>
    <t>2.7</t>
  </si>
  <si>
    <t>In welchem Maß trug der Medieneinsatz zur Anschaulichkeit bei?
Wie angemessen war der Medieneinsatz?</t>
  </si>
  <si>
    <t>2.8</t>
  </si>
  <si>
    <t>Wurde die zeitliche Vorgabe eingehalten?
Wie angemessen war die zeitliche Verteilung der Inhalte?</t>
  </si>
  <si>
    <t>3</t>
  </si>
  <si>
    <t>Gestaltung der Präsentationshilfsmittel</t>
  </si>
  <si>
    <t>3.1</t>
  </si>
  <si>
    <t>Farbe, Schrift, Grafiken, Anzahl Folien, Aufteilung der Räume, Agenda, etc.</t>
  </si>
  <si>
    <t>Summe Präsentation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</si>
</sst>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F5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textRotation="90"/>
    </xf>
    <xf numFmtId="164" fontId="1" fillId="2" borderId="3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vertical="center"/>
    </xf>
    <xf numFmtId="0" fontId="2" fillId="0" borderId="3" xfId="0" quotePrefix="1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0" fontId="2" fillId="4" borderId="3" xfId="0" applyFont="1" applyFill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quotePrefix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3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tabSelected="1" zoomScale="70" zoomScaleNormal="70" workbookViewId="0">
      <selection activeCell="B6" sqref="B6"/>
    </sheetView>
  </sheetViews>
  <sheetFormatPr baseColWidth="10" defaultColWidth="10.7265625" defaultRowHeight="14.5" x14ac:dyDescent="0.35"/>
  <cols>
    <col min="1" max="1" width="6" customWidth="1"/>
    <col min="2" max="2" width="71.1796875" style="1" bestFit="1" customWidth="1"/>
    <col min="3" max="9" width="5.7265625" customWidth="1"/>
    <col min="10" max="10" width="7.7265625" bestFit="1" customWidth="1"/>
    <col min="11" max="11" width="42.7265625" customWidth="1"/>
  </cols>
  <sheetData>
    <row r="2" spans="1:11" ht="97.15" customHeight="1" x14ac:dyDescent="0.35">
      <c r="A2" s="2" t="s">
        <v>0</v>
      </c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/>
    </row>
    <row r="3" spans="1:11" ht="15.5" x14ac:dyDescent="0.35">
      <c r="A3" s="6" t="str">
        <f ca="1">CONCATENATE("Projektteil: ", MID(CELL("Dateiname",$A$3),FIND("]",CELL("Dateiname",$A$3))+1,31))</f>
        <v>Projektteil: Präsentation</v>
      </c>
      <c r="B3" s="7"/>
      <c r="C3" s="8" t="s">
        <v>8</v>
      </c>
      <c r="D3" s="9"/>
      <c r="E3" s="9"/>
      <c r="F3" s="10"/>
      <c r="G3" s="11"/>
      <c r="H3" s="12"/>
      <c r="I3" s="12" t="s">
        <v>9</v>
      </c>
      <c r="J3" s="12" t="s">
        <v>10</v>
      </c>
      <c r="K3" s="30"/>
    </row>
    <row r="4" spans="1:11" ht="15.5" x14ac:dyDescent="0.35">
      <c r="A4" s="13" t="s">
        <v>11</v>
      </c>
      <c r="B4" s="14" t="s">
        <v>12</v>
      </c>
      <c r="C4" s="14">
        <v>3</v>
      </c>
      <c r="D4" s="14">
        <v>2</v>
      </c>
      <c r="E4" s="14">
        <v>1</v>
      </c>
      <c r="F4" s="14">
        <v>0</v>
      </c>
      <c r="G4" s="14"/>
      <c r="H4" s="15"/>
      <c r="I4" s="16">
        <v>15</v>
      </c>
      <c r="J4" s="17">
        <f>ROUND(SUM(J7:J19),1)</f>
        <v>0</v>
      </c>
    </row>
    <row r="5" spans="1:11" ht="15.5" x14ac:dyDescent="0.35">
      <c r="A5" s="18" t="s">
        <v>13</v>
      </c>
      <c r="B5" s="19" t="s">
        <v>14</v>
      </c>
      <c r="C5" s="20"/>
      <c r="D5" s="20"/>
      <c r="E5" s="20"/>
      <c r="F5" s="20"/>
      <c r="G5" s="20"/>
      <c r="H5" s="20"/>
      <c r="I5" s="20"/>
      <c r="J5" s="21">
        <f>IFERROR(ROUND(AVERAGE(C5:H5),1),0)</f>
        <v>0</v>
      </c>
    </row>
    <row r="6" spans="1:11" ht="15.5" x14ac:dyDescent="0.35">
      <c r="A6" s="18" t="s">
        <v>15</v>
      </c>
      <c r="B6" s="19" t="s">
        <v>16</v>
      </c>
      <c r="C6" s="20"/>
      <c r="D6" s="20"/>
      <c r="E6" s="20"/>
      <c r="F6" s="20"/>
      <c r="G6" s="20"/>
      <c r="H6" s="20"/>
      <c r="I6" s="20"/>
      <c r="J6" s="21">
        <f t="shared" ref="J6:J9" si="0">IFERROR(ROUND(AVERAGE(C6:H6),1),0)</f>
        <v>0</v>
      </c>
    </row>
    <row r="7" spans="1:11" ht="15.5" x14ac:dyDescent="0.35">
      <c r="A7" s="18" t="s">
        <v>17</v>
      </c>
      <c r="B7" s="19" t="s">
        <v>18</v>
      </c>
      <c r="C7" s="20"/>
      <c r="D7" s="20"/>
      <c r="E7" s="20"/>
      <c r="F7" s="20"/>
      <c r="G7" s="20"/>
      <c r="H7" s="20"/>
      <c r="I7" s="20"/>
      <c r="J7" s="21">
        <f t="shared" si="0"/>
        <v>0</v>
      </c>
    </row>
    <row r="8" spans="1:11" ht="31" x14ac:dyDescent="0.35">
      <c r="A8" s="18" t="s">
        <v>19</v>
      </c>
      <c r="B8" s="19" t="s">
        <v>20</v>
      </c>
      <c r="C8" s="20"/>
      <c r="D8" s="20"/>
      <c r="E8" s="20"/>
      <c r="F8" s="20"/>
      <c r="G8" s="20"/>
      <c r="H8" s="20"/>
      <c r="I8" s="20"/>
      <c r="J8" s="21">
        <f t="shared" si="0"/>
        <v>0</v>
      </c>
    </row>
    <row r="9" spans="1:11" ht="15.5" x14ac:dyDescent="0.35">
      <c r="A9" s="18" t="s">
        <v>21</v>
      </c>
      <c r="B9" s="19" t="s">
        <v>22</v>
      </c>
      <c r="C9" s="20"/>
      <c r="D9" s="20"/>
      <c r="E9" s="20"/>
      <c r="F9" s="20"/>
      <c r="G9" s="20"/>
      <c r="H9" s="20"/>
      <c r="I9" s="20"/>
      <c r="J9" s="21">
        <f t="shared" si="0"/>
        <v>0</v>
      </c>
    </row>
    <row r="10" spans="1:11" ht="15.5" x14ac:dyDescent="0.35">
      <c r="A10" s="22"/>
      <c r="B10" s="23"/>
      <c r="C10" s="14">
        <v>5</v>
      </c>
      <c r="D10" s="14">
        <v>4</v>
      </c>
      <c r="E10" s="14">
        <v>2</v>
      </c>
      <c r="F10" s="14">
        <v>0</v>
      </c>
      <c r="G10" s="14"/>
      <c r="H10" s="15"/>
      <c r="I10" s="16">
        <v>20</v>
      </c>
      <c r="J10" s="24"/>
    </row>
    <row r="11" spans="1:11" ht="15.5" x14ac:dyDescent="0.35">
      <c r="A11" s="18" t="s">
        <v>23</v>
      </c>
      <c r="B11" s="19" t="s">
        <v>24</v>
      </c>
      <c r="C11" s="20"/>
      <c r="D11" s="20"/>
      <c r="E11" s="20"/>
      <c r="F11" s="20"/>
      <c r="G11" s="20"/>
      <c r="H11" s="20"/>
      <c r="I11" s="20"/>
      <c r="J11" s="21">
        <f>IFERROR(ROUND(AVERAGE(C11:H11),1),0)</f>
        <v>0</v>
      </c>
    </row>
    <row r="12" spans="1:11" ht="15.5" x14ac:dyDescent="0.35">
      <c r="A12" s="18" t="s">
        <v>25</v>
      </c>
      <c r="B12" s="19" t="s">
        <v>26</v>
      </c>
      <c r="C12" s="20"/>
      <c r="D12" s="20"/>
      <c r="E12" s="20"/>
      <c r="F12" s="20"/>
      <c r="G12" s="20"/>
      <c r="H12" s="20"/>
      <c r="I12" s="20"/>
      <c r="J12" s="21">
        <f t="shared" ref="J12:J13" si="1">IFERROR(ROUND(AVERAGE(C12:H12),1),0)</f>
        <v>0</v>
      </c>
    </row>
    <row r="13" spans="1:11" ht="31" x14ac:dyDescent="0.35">
      <c r="A13" s="18" t="s">
        <v>27</v>
      </c>
      <c r="B13" s="19" t="s">
        <v>28</v>
      </c>
      <c r="C13" s="20"/>
      <c r="D13" s="20"/>
      <c r="E13" s="20"/>
      <c r="F13" s="20"/>
      <c r="G13" s="20"/>
      <c r="H13" s="20"/>
      <c r="I13" s="20"/>
      <c r="J13" s="21">
        <f t="shared" si="1"/>
        <v>0</v>
      </c>
    </row>
    <row r="14" spans="1:11" ht="15.5" x14ac:dyDescent="0.35">
      <c r="A14" s="22"/>
      <c r="B14" s="23"/>
      <c r="C14" s="14">
        <v>25</v>
      </c>
      <c r="D14" s="14">
        <v>15</v>
      </c>
      <c r="E14" s="14">
        <v>10</v>
      </c>
      <c r="F14" s="14">
        <v>0</v>
      </c>
      <c r="G14" s="14"/>
      <c r="H14" s="15"/>
      <c r="I14" s="16">
        <v>20</v>
      </c>
      <c r="J14" s="24"/>
    </row>
    <row r="15" spans="1:11" ht="31" x14ac:dyDescent="0.35">
      <c r="A15" s="18" t="s">
        <v>29</v>
      </c>
      <c r="B15" s="19" t="s">
        <v>30</v>
      </c>
      <c r="C15" s="20"/>
      <c r="D15" s="20"/>
      <c r="E15" s="20"/>
      <c r="F15" s="20"/>
      <c r="G15" s="20"/>
      <c r="H15" s="20"/>
      <c r="I15" s="20"/>
      <c r="J15" s="21">
        <f>IFERROR(ROUND(AVERAGE(C15:H15),1),0)</f>
        <v>0</v>
      </c>
    </row>
    <row r="16" spans="1:11" ht="15.5" x14ac:dyDescent="0.35">
      <c r="A16" s="22"/>
      <c r="B16" s="23"/>
      <c r="C16" s="14">
        <v>5</v>
      </c>
      <c r="D16" s="14">
        <v>4</v>
      </c>
      <c r="E16" s="14">
        <v>2</v>
      </c>
      <c r="F16" s="14">
        <v>0</v>
      </c>
      <c r="G16" s="14"/>
      <c r="H16" s="15"/>
      <c r="I16" s="16">
        <v>5</v>
      </c>
      <c r="J16" s="24"/>
    </row>
    <row r="17" spans="1:10" ht="15.5" x14ac:dyDescent="0.35">
      <c r="A17" s="18" t="s">
        <v>31</v>
      </c>
      <c r="B17" s="19" t="s">
        <v>32</v>
      </c>
      <c r="C17" s="20"/>
      <c r="D17" s="20"/>
      <c r="E17" s="20"/>
      <c r="F17" s="20"/>
      <c r="G17" s="20"/>
      <c r="H17" s="20"/>
      <c r="I17" s="20"/>
      <c r="J17" s="21">
        <f>IFERROR(ROUND(AVERAGE(C17:H17),1),0)</f>
        <v>0</v>
      </c>
    </row>
    <row r="18" spans="1:10" ht="15.5" x14ac:dyDescent="0.35">
      <c r="A18" s="13" t="s">
        <v>33</v>
      </c>
      <c r="B18" s="14" t="s">
        <v>34</v>
      </c>
      <c r="C18" s="14">
        <v>4</v>
      </c>
      <c r="D18" s="14">
        <v>3</v>
      </c>
      <c r="E18" s="14">
        <v>1.5</v>
      </c>
      <c r="F18" s="14">
        <v>0</v>
      </c>
      <c r="G18" s="14"/>
      <c r="H18" s="15"/>
      <c r="I18" s="16">
        <v>32</v>
      </c>
      <c r="J18" s="17">
        <f>ROUND(SUM(J19:J26),1)</f>
        <v>0</v>
      </c>
    </row>
    <row r="19" spans="1:10" ht="15.5" x14ac:dyDescent="0.35">
      <c r="A19" s="18" t="s">
        <v>35</v>
      </c>
      <c r="B19" s="19" t="s">
        <v>36</v>
      </c>
      <c r="C19" s="20"/>
      <c r="D19" s="20"/>
      <c r="E19" s="20"/>
      <c r="F19" s="20"/>
      <c r="G19" s="20"/>
      <c r="H19" s="20"/>
      <c r="I19" s="20"/>
      <c r="J19" s="21">
        <f>IFERROR(ROUND(AVERAGE(C19:H19),1),0)</f>
        <v>0</v>
      </c>
    </row>
    <row r="20" spans="1:10" ht="15.5" x14ac:dyDescent="0.35">
      <c r="A20" s="18" t="s">
        <v>37</v>
      </c>
      <c r="B20" s="19" t="s">
        <v>38</v>
      </c>
      <c r="C20" s="20"/>
      <c r="D20" s="20"/>
      <c r="E20" s="20"/>
      <c r="F20" s="20"/>
      <c r="G20" s="20"/>
      <c r="H20" s="20"/>
      <c r="I20" s="20"/>
      <c r="J20" s="21">
        <f t="shared" ref="J20:J28" si="2">IFERROR(ROUND(AVERAGE(C20:H20),1),0)</f>
        <v>0</v>
      </c>
    </row>
    <row r="21" spans="1:10" ht="62" x14ac:dyDescent="0.35">
      <c r="A21" s="18" t="s">
        <v>39</v>
      </c>
      <c r="B21" s="19" t="s">
        <v>40</v>
      </c>
      <c r="C21" s="20"/>
      <c r="D21" s="20"/>
      <c r="E21" s="20"/>
      <c r="F21" s="20"/>
      <c r="G21" s="20"/>
      <c r="H21" s="20"/>
      <c r="I21" s="20"/>
      <c r="J21" s="21">
        <f t="shared" si="2"/>
        <v>0</v>
      </c>
    </row>
    <row r="22" spans="1:10" ht="15.5" x14ac:dyDescent="0.35">
      <c r="A22" s="18" t="s">
        <v>41</v>
      </c>
      <c r="B22" s="19" t="s">
        <v>42</v>
      </c>
      <c r="C22" s="20"/>
      <c r="D22" s="20"/>
      <c r="E22" s="20"/>
      <c r="F22" s="20"/>
      <c r="G22" s="20"/>
      <c r="H22" s="20"/>
      <c r="I22" s="20"/>
      <c r="J22" s="21">
        <f t="shared" si="2"/>
        <v>0</v>
      </c>
    </row>
    <row r="23" spans="1:10" ht="15.5" x14ac:dyDescent="0.35">
      <c r="A23" s="18" t="s">
        <v>43</v>
      </c>
      <c r="B23" s="19" t="s">
        <v>44</v>
      </c>
      <c r="C23" s="20"/>
      <c r="D23" s="20"/>
      <c r="E23" s="20"/>
      <c r="F23" s="20"/>
      <c r="G23" s="20"/>
      <c r="H23" s="20"/>
      <c r="I23" s="20"/>
      <c r="J23" s="21">
        <f t="shared" si="2"/>
        <v>0</v>
      </c>
    </row>
    <row r="24" spans="1:10" ht="15.5" x14ac:dyDescent="0.35">
      <c r="A24" s="18" t="s">
        <v>45</v>
      </c>
      <c r="B24" s="19" t="s">
        <v>46</v>
      </c>
      <c r="C24" s="20"/>
      <c r="D24" s="20"/>
      <c r="E24" s="20"/>
      <c r="F24" s="20"/>
      <c r="G24" s="20"/>
      <c r="H24" s="20"/>
      <c r="I24" s="20"/>
      <c r="J24" s="21">
        <f t="shared" si="2"/>
        <v>0</v>
      </c>
    </row>
    <row r="25" spans="1:10" ht="31" x14ac:dyDescent="0.35">
      <c r="A25" s="18" t="s">
        <v>47</v>
      </c>
      <c r="B25" s="19" t="s">
        <v>48</v>
      </c>
      <c r="C25" s="20"/>
      <c r="D25" s="20"/>
      <c r="E25" s="20"/>
      <c r="F25" s="20"/>
      <c r="G25" s="20"/>
      <c r="H25" s="20"/>
      <c r="I25" s="20"/>
      <c r="J25" s="21">
        <f t="shared" si="2"/>
        <v>0</v>
      </c>
    </row>
    <row r="26" spans="1:10" ht="31" x14ac:dyDescent="0.35">
      <c r="A26" s="18" t="s">
        <v>49</v>
      </c>
      <c r="B26" s="19" t="s">
        <v>50</v>
      </c>
      <c r="C26" s="20"/>
      <c r="D26" s="20"/>
      <c r="E26" s="20"/>
      <c r="F26" s="20"/>
      <c r="G26" s="20"/>
      <c r="H26" s="20"/>
      <c r="I26" s="20"/>
      <c r="J26" s="21">
        <f t="shared" si="2"/>
        <v>0</v>
      </c>
    </row>
    <row r="27" spans="1:10" ht="15.5" x14ac:dyDescent="0.35">
      <c r="A27" s="13" t="s">
        <v>51</v>
      </c>
      <c r="B27" s="14" t="s">
        <v>52</v>
      </c>
      <c r="C27" s="14">
        <v>8</v>
      </c>
      <c r="D27" s="14">
        <v>6.5</v>
      </c>
      <c r="E27" s="14">
        <v>4</v>
      </c>
      <c r="F27" s="14">
        <v>0</v>
      </c>
      <c r="G27" s="14"/>
      <c r="H27" s="15"/>
      <c r="I27" s="16">
        <v>8</v>
      </c>
      <c r="J27" s="17">
        <f>ROUND(SUM(J28:J28),1)</f>
        <v>0</v>
      </c>
    </row>
    <row r="28" spans="1:10" ht="15.5" x14ac:dyDescent="0.35">
      <c r="A28" s="18" t="s">
        <v>53</v>
      </c>
      <c r="B28" s="25" t="s">
        <v>54</v>
      </c>
      <c r="C28" s="20"/>
      <c r="D28" s="20"/>
      <c r="E28" s="20"/>
      <c r="F28" s="20"/>
      <c r="G28" s="20"/>
      <c r="H28" s="20"/>
      <c r="I28" s="20"/>
      <c r="J28" s="21">
        <f t="shared" si="2"/>
        <v>0</v>
      </c>
    </row>
    <row r="29" spans="1:10" ht="18.5" x14ac:dyDescent="0.35">
      <c r="A29" s="26"/>
      <c r="B29" s="27" t="s">
        <v>55</v>
      </c>
      <c r="C29" s="28">
        <f>SUM(C4:C28)-C4-C10-C14-C16-C18-C27</f>
        <v>0</v>
      </c>
      <c r="D29" s="28">
        <f>SUM(D4:D28)-D4-D10-D14-D16-D18-D27</f>
        <v>0</v>
      </c>
      <c r="E29" s="28">
        <f>SUM(E4:E28)-E4-E10-E14-E16-E18-E27</f>
        <v>0</v>
      </c>
      <c r="F29" s="28">
        <f>SUM(F4:F28)-F4-F10-F14-F16-F18-F27</f>
        <v>0</v>
      </c>
      <c r="G29" s="28">
        <f>SUM(G4:G28)-G4-G10-G14-G16-G18-G27</f>
        <v>0</v>
      </c>
      <c r="H29" s="28">
        <f>SUM(H4:H28)-H4-H10-H14-H16-H18-H27</f>
        <v>0</v>
      </c>
      <c r="I29" s="28">
        <f>SUM(I4:I28)-I4-I10-I14-I16-I18-I27</f>
        <v>0</v>
      </c>
      <c r="J29" s="29">
        <f>AVERAGE(C29:I29)</f>
        <v>0</v>
      </c>
    </row>
    <row r="33" spans="3:3" x14ac:dyDescent="0.35">
      <c r="C33" s="31"/>
    </row>
  </sheetData>
  <mergeCells count="6">
    <mergeCell ref="A2:B2"/>
    <mergeCell ref="A3:B3"/>
    <mergeCell ref="C3:F3"/>
    <mergeCell ref="A10:B10"/>
    <mergeCell ref="A14:B14"/>
    <mergeCell ref="A16:B1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Präsentation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Fleddermann</dc:creator>
  <cp:lastModifiedBy>Pascal Fleddermann</cp:lastModifiedBy>
  <dcterms:created xsi:type="dcterms:W3CDTF">2026-05-28T10:39:21Z</dcterms:created>
  <dcterms:modified xsi:type="dcterms:W3CDTF">2026-05-28T10:41:04Z</dcterms:modified>
</cp:coreProperties>
</file>